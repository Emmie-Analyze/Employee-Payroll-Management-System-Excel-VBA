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G\Desktop\MY Trial\"/>
    </mc:Choice>
  </mc:AlternateContent>
  <xr:revisionPtr revIDLastSave="0" documentId="13_ncr:1_{BD048559-05B3-4494-8975-00506C17B6A1}" xr6:coauthVersionLast="47" xr6:coauthVersionMax="47" xr10:uidLastSave="{00000000-0000-0000-0000-000000000000}"/>
  <bookViews>
    <workbookView xWindow="-108" yWindow="-108" windowWidth="23256" windowHeight="12456" xr2:uid="{2883EA59-ED9B-4672-B582-DF556A95A2DF}"/>
  </bookViews>
  <sheets>
    <sheet name="Form" sheetId="1" r:id="rId1"/>
    <sheet name="Database" sheetId="3" r:id="rId2"/>
  </sheets>
  <definedNames>
    <definedName name="_xlnm._FilterDatabase" localSheetId="0" hidden="1">Form!$B$17:$B$28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7" i="1" l="1"/>
  <c r="C26" i="1"/>
  <c r="C25" i="1"/>
  <c r="C24" i="1"/>
  <c r="C23" i="1"/>
  <c r="C22" i="1"/>
  <c r="C21" i="1"/>
  <c r="C20" i="1"/>
  <c r="C19" i="1"/>
  <c r="C18" i="1"/>
  <c r="C17" i="1"/>
  <c r="F13" i="1"/>
  <c r="C28" i="1" s="1"/>
</calcChain>
</file>

<file path=xl/sharedStrings.xml><?xml version="1.0" encoding="utf-8"?>
<sst xmlns="http://schemas.openxmlformats.org/spreadsheetml/2006/main" count="78" uniqueCount="43">
  <si>
    <t>Department</t>
  </si>
  <si>
    <t>EMPLOYEE DATA FORM</t>
  </si>
  <si>
    <t>Employee Name</t>
  </si>
  <si>
    <t>Employee_ID</t>
  </si>
  <si>
    <t>email_ID</t>
  </si>
  <si>
    <t>Date of Birth</t>
  </si>
  <si>
    <t>Location</t>
  </si>
  <si>
    <t>Basic Salary</t>
  </si>
  <si>
    <t>HRA</t>
  </si>
  <si>
    <t>Medical</t>
  </si>
  <si>
    <t>Conveyance</t>
  </si>
  <si>
    <t>Net_Pay</t>
  </si>
  <si>
    <t>Deduction</t>
  </si>
  <si>
    <t>SNG001</t>
  </si>
  <si>
    <t>Account</t>
  </si>
  <si>
    <t>Office</t>
  </si>
  <si>
    <t>Technical</t>
  </si>
  <si>
    <t>Site</t>
  </si>
  <si>
    <t>Cosy Adam</t>
  </si>
  <si>
    <t>cosy@gmail.com</t>
  </si>
  <si>
    <t>Admin</t>
  </si>
  <si>
    <t>Danny Jones</t>
  </si>
  <si>
    <t>TEC002</t>
  </si>
  <si>
    <t>jone@gmail.com</t>
  </si>
  <si>
    <t>Esther Moses</t>
  </si>
  <si>
    <t>ACC026</t>
  </si>
  <si>
    <t>esty@gmail.com</t>
  </si>
  <si>
    <t>Jesse Base</t>
  </si>
  <si>
    <t>ACC054</t>
  </si>
  <si>
    <t>jesse@gmail.com</t>
  </si>
  <si>
    <t>Alex Brown</t>
  </si>
  <si>
    <t>TEC027</t>
  </si>
  <si>
    <t>alex@gmail.com</t>
  </si>
  <si>
    <t>Kim Chan</t>
  </si>
  <si>
    <t>AM001</t>
  </si>
  <si>
    <t>chan@gmail.com</t>
  </si>
  <si>
    <t>Innimfon Godspower</t>
  </si>
  <si>
    <t>LOS221</t>
  </si>
  <si>
    <t>inni@gmail.com</t>
  </si>
  <si>
    <t>Joseph Dan</t>
  </si>
  <si>
    <t>AD103</t>
  </si>
  <si>
    <t>dan21@gmail.com</t>
  </si>
  <si>
    <t>21/2/1999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</si>
</sst>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(&quot;$&quot;* #,##0_);_(&quot;$&quot;* \(#,##0\);_(&quot;$&quot;* &quot;-&quot;_);_(@_)"/>
    <numFmt numFmtId="164" formatCode="&quot;$&quot;#,##0"/>
    <numFmt numFmtId="165" formatCode="yyyy\-mm\-dd;@"/>
  </numFmts>
  <fonts count="6" x14ac:knownFonts="1"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8"/>
      <color theme="0"/>
      <name val="Segoe UI"/>
      <family val="2"/>
    </font>
    <font>
      <u/>
      <sz val="11"/>
      <color theme="10"/>
      <name val="Segoe UI"/>
      <family val="2"/>
    </font>
    <font>
      <b/>
      <sz val="11"/>
      <color rgb="FF000000"/>
      <name val="Segoe U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3" borderId="0" xfId="0" applyFill="1"/>
    <xf numFmtId="42" fontId="0" fillId="3" borderId="1" xfId="0" applyNumberFormat="1" applyFill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1" fillId="0" borderId="5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0" fontId="1" fillId="0" borderId="7" xfId="0" applyFont="1" applyBorder="1" applyAlignment="1">
      <alignment horizontal="right"/>
    </xf>
    <xf numFmtId="0" fontId="0" fillId="0" borderId="8" xfId="0" applyBorder="1"/>
    <xf numFmtId="0" fontId="1" fillId="0" borderId="8" xfId="0" applyFont="1" applyBorder="1" applyAlignment="1">
      <alignment horizontal="right"/>
    </xf>
    <xf numFmtId="0" fontId="1" fillId="3" borderId="0" xfId="0" applyFont="1" applyFill="1" applyAlignment="1">
      <alignment horizontal="left"/>
    </xf>
    <xf numFmtId="14" fontId="0" fillId="3" borderId="0" xfId="0" applyNumberFormat="1" applyFill="1"/>
    <xf numFmtId="42" fontId="0" fillId="3" borderId="0" xfId="0" applyNumberFormat="1" applyFill="1"/>
    <xf numFmtId="164" fontId="0" fillId="0" borderId="0" xfId="0" applyNumberFormat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3" fillId="3" borderId="1" xfId="1" applyFill="1" applyBorder="1" applyProtection="1">
      <protection locked="0"/>
    </xf>
    <xf numFmtId="14" fontId="0" fillId="3" borderId="1" xfId="0" applyNumberFormat="1" applyFill="1" applyBorder="1" applyProtection="1">
      <protection locked="0"/>
    </xf>
    <xf numFmtId="42" fontId="0" fillId="3" borderId="1" xfId="0" applyNumberFormat="1" applyFill="1" applyBorder="1" applyProtection="1">
      <protection locked="0"/>
    </xf>
    <xf numFmtId="0" fontId="0" fillId="0" borderId="1" xfId="0" applyBorder="1"/>
    <xf numFmtId="164" fontId="0" fillId="0" borderId="1" xfId="0" applyNumberFormat="1" applyBorder="1"/>
    <xf numFmtId="165" fontId="0" fillId="0" borderId="0" xfId="0" applyNumberFormat="1"/>
    <xf numFmtId="165" fontId="0" fillId="0" borderId="1" xfId="0" applyNumberFormat="1" applyBorder="1"/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3">
    <dxf>
      <numFmt numFmtId="164" formatCode="&quot;$&quot;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yyyy\-mm\-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D$22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Database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Form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12</xdr:row>
          <xdr:rowOff>15240</xdr:rowOff>
        </xdr:from>
        <xdr:to>
          <xdr:col>2</xdr:col>
          <xdr:colOff>647700</xdr:colOff>
          <xdr:row>13</xdr:row>
          <xdr:rowOff>15240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601980</xdr:colOff>
          <xdr:row>12</xdr:row>
          <xdr:rowOff>15240</xdr:rowOff>
        </xdr:from>
        <xdr:to>
          <xdr:col>2</xdr:col>
          <xdr:colOff>1203960</xdr:colOff>
          <xdr:row>13</xdr:row>
          <xdr:rowOff>15240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563880</xdr:colOff>
      <xdr:row>0</xdr:row>
      <xdr:rowOff>38100</xdr:rowOff>
    </xdr:from>
    <xdr:to>
      <xdr:col>5</xdr:col>
      <xdr:colOff>792480</xdr:colOff>
      <xdr:row>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1920" y="38100"/>
          <a:ext cx="2286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541020</xdr:colOff>
          <xdr:row>10</xdr:row>
          <xdr:rowOff>60960</xdr:rowOff>
        </xdr:from>
        <xdr:to>
          <xdr:col>4</xdr:col>
          <xdr:colOff>411480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476250</xdr:colOff>
      <xdr:row>1</xdr:row>
      <xdr:rowOff>190500</xdr:rowOff>
    </xdr:from>
    <xdr:to>
      <xdr:col>10</xdr:col>
      <xdr:colOff>542926</xdr:colOff>
      <xdr:row>4</xdr:row>
      <xdr:rowOff>85726</xdr:rowOff>
    </xdr:to>
    <xdr:sp macro="" textlink="">
      <xdr:nvSpPr>
        <xdr:cNvPr id="4" name="Oval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906125" y="533400"/>
          <a:ext cx="2066926" cy="523876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latin typeface="Segoe UI" panose="020B0502040204020203" pitchFamily="34" charset="0"/>
              <a:cs typeface="Segoe UI" panose="020B0502040204020203" pitchFamily="34" charset="0"/>
            </a:rPr>
            <a:t>DATABASE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129540</xdr:colOff>
      <xdr:row>6</xdr:row>
      <xdr:rowOff>83820</xdr:rowOff>
    </xdr:from>
    <xdr:to>
      <xdr:col>15</xdr:col>
      <xdr:colOff>68580</xdr:colOff>
      <xdr:row>8</xdr:row>
      <xdr:rowOff>121920</xdr:rowOff>
    </xdr:to>
    <xdr:sp macro="" textlink="">
      <xdr:nvSpPr>
        <xdr:cNvPr id="2" name="Ova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319760" y="297180"/>
          <a:ext cx="1280160" cy="464820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latin typeface="Segoe UI" panose="020B0502040204020203" pitchFamily="34" charset="0"/>
              <a:cs typeface="Segoe UI" panose="020B0502040204020203" pitchFamily="34" charset="0"/>
            </a:rPr>
            <a:t>FORM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900C78-3F24-4ACF-83D0-7E6930173642}" name="Table1" displayName="Table1" ref="B1:M9" totalsRowShown="0" headerRowDxfId="12">
  <autoFilter ref="B1:M9" xr:uid="{27900C78-3F24-4ACF-83D0-7E6930173642}"/>
  <tableColumns count="12">
    <tableColumn id="1" xr3:uid="{332F9525-A3FD-4F29-B123-D67130DB06D2}" name="Employee Name" dataDxfId="11"/>
    <tableColumn id="2" xr3:uid="{3A86AA78-ECCA-4232-BAAB-713826CC7F6E}" name="Employee_ID" dataDxfId="10"/>
    <tableColumn id="3" xr3:uid="{69E5E9FA-9B37-4C1D-86A7-542DAC7D5BA0}" name="email_ID" dataDxfId="9"/>
    <tableColumn id="4" xr3:uid="{37BFA91D-2D55-4567-93A8-BCEF256385DC}" name="Date of Birth" dataDxfId="8"/>
    <tableColumn id="5" xr3:uid="{70FD8A4B-6063-4F7C-92EC-F1C18CCFDF52}" name="Department" dataDxfId="7"/>
    <tableColumn id="6" xr3:uid="{A09F11B4-81F0-4F41-93ED-9CAA85798A09}" name="Location" dataDxfId="6"/>
    <tableColumn id="7" xr3:uid="{153CAF32-7B36-408E-8C9E-2FA96514ED7A}" name="Basic Salary" dataDxfId="5"/>
    <tableColumn id="8" xr3:uid="{C027D1E1-ABE2-4065-B558-6C66D21D5274}" name="HRA" dataDxfId="4"/>
    <tableColumn id="9" xr3:uid="{2BFA3BFA-57FE-4295-9EDB-83FFBCA859D8}" name="Medical" dataDxfId="3"/>
    <tableColumn id="10" xr3:uid="{008EEF3E-A70B-4BD9-95DD-454D6725A903}" name="Conveyance" dataDxfId="2"/>
    <tableColumn id="11" xr3:uid="{8B0A542D-3C31-4F1C-99A0-CB604979912C}" name="Deduction" dataDxfId="1"/>
    <tableColumn id="12" xr3:uid="{3E532465-A745-490E-A8E9-9B167DD58F2F}" name="Net_Pay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313ED-8FDA-4C53-A044-764DDE1F8BD2}">
  <dimension ref="B1:H28"/>
  <sheetViews>
    <sheetView showGridLines="0" tabSelected="1" zoomScale="80" zoomScaleNormal="80" workbookViewId="0">
      <selection activeCell="L18" sqref="L18"/>
    </sheetView>
  </sheetViews>
  <sheetFormatPr defaultRowHeight="16.8" x14ac:dyDescent="0.4"/>
  <cols>
    <col min="1" max="1" width="3.796875" style="1" customWidth="1"/>
    <col min="2" max="2" width="20.09765625" style="1" customWidth="1"/>
    <col min="3" max="3" width="29.3984375" style="1" customWidth="1"/>
    <col min="4" max="4" width="20.69921875" style="1" customWidth="1"/>
    <col min="5" max="5" width="17.8984375" style="1" customWidth="1"/>
    <col min="6" max="6" width="36.296875" style="1" customWidth="1"/>
    <col min="7" max="16384" width="8.796875" style="1"/>
  </cols>
  <sheetData>
    <row r="1" spans="2:8" ht="27" x14ac:dyDescent="0.6">
      <c r="B1" s="25" t="s">
        <v>1</v>
      </c>
      <c r="C1" s="26"/>
      <c r="D1" s="26"/>
      <c r="E1" s="26"/>
      <c r="F1" s="27"/>
    </row>
    <row r="2" spans="2:8" x14ac:dyDescent="0.4">
      <c r="B2" s="3"/>
      <c r="C2" s="4"/>
      <c r="D2" s="4"/>
      <c r="E2" s="4"/>
      <c r="F2" s="5"/>
    </row>
    <row r="3" spans="2:8" x14ac:dyDescent="0.4">
      <c r="B3" s="6" t="s">
        <v>2</v>
      </c>
      <c r="C3" s="17"/>
      <c r="D3" s="4"/>
      <c r="E3" s="7" t="s">
        <v>7</v>
      </c>
      <c r="F3" s="20"/>
    </row>
    <row r="4" spans="2:8" x14ac:dyDescent="0.4">
      <c r="B4" s="6"/>
      <c r="C4" s="4"/>
      <c r="D4" s="4"/>
      <c r="E4" s="4"/>
      <c r="F4" s="8"/>
      <c r="H4" s="16"/>
    </row>
    <row r="5" spans="2:8" x14ac:dyDescent="0.4">
      <c r="B5" s="6" t="s">
        <v>3</v>
      </c>
      <c r="C5" s="17"/>
      <c r="D5" s="4"/>
      <c r="E5" s="7" t="s">
        <v>8</v>
      </c>
      <c r="F5" s="20"/>
    </row>
    <row r="6" spans="2:8" x14ac:dyDescent="0.4">
      <c r="B6" s="6"/>
      <c r="C6" s="4"/>
      <c r="D6" s="4"/>
      <c r="E6" s="4"/>
      <c r="F6" s="8"/>
    </row>
    <row r="7" spans="2:8" x14ac:dyDescent="0.4">
      <c r="B7" s="6" t="s">
        <v>4</v>
      </c>
      <c r="C7" s="18"/>
      <c r="D7" s="4"/>
      <c r="E7" s="7" t="s">
        <v>9</v>
      </c>
      <c r="F7" s="20"/>
    </row>
    <row r="8" spans="2:8" x14ac:dyDescent="0.4">
      <c r="B8" s="6"/>
      <c r="C8" s="4"/>
      <c r="D8" s="4"/>
      <c r="E8" s="4"/>
      <c r="F8" s="8"/>
    </row>
    <row r="9" spans="2:8" x14ac:dyDescent="0.4">
      <c r="B9" s="6" t="s">
        <v>5</v>
      </c>
      <c r="C9" s="19"/>
      <c r="D9" s="4"/>
      <c r="E9" s="7" t="s">
        <v>10</v>
      </c>
      <c r="F9" s="20"/>
    </row>
    <row r="10" spans="2:8" x14ac:dyDescent="0.4">
      <c r="B10" s="6"/>
      <c r="C10" s="4"/>
      <c r="D10" s="4"/>
      <c r="E10" s="4"/>
      <c r="F10" s="8"/>
    </row>
    <row r="11" spans="2:8" x14ac:dyDescent="0.4">
      <c r="B11" s="6" t="s">
        <v>0</v>
      </c>
      <c r="C11" s="19"/>
      <c r="D11" s="4"/>
      <c r="E11" s="7" t="s">
        <v>12</v>
      </c>
      <c r="F11" s="20"/>
    </row>
    <row r="12" spans="2:8" x14ac:dyDescent="0.4">
      <c r="B12" s="3"/>
      <c r="C12" s="4"/>
      <c r="D12" s="4"/>
      <c r="E12" s="4"/>
      <c r="F12" s="5"/>
    </row>
    <row r="13" spans="2:8" x14ac:dyDescent="0.4">
      <c r="B13" s="9" t="s">
        <v>6</v>
      </c>
      <c r="C13" s="10"/>
      <c r="D13" s="10"/>
      <c r="E13" s="11" t="s">
        <v>11</v>
      </c>
      <c r="F13" s="2">
        <f>F3+F5+F7+F9-F11</f>
        <v>0</v>
      </c>
    </row>
    <row r="17" spans="2:4" x14ac:dyDescent="0.4">
      <c r="B17" s="12" t="s">
        <v>2</v>
      </c>
      <c r="C17" s="1">
        <f>C3</f>
        <v>0</v>
      </c>
    </row>
    <row r="18" spans="2:4" x14ac:dyDescent="0.4">
      <c r="B18" s="12" t="s">
        <v>3</v>
      </c>
      <c r="C18" s="1">
        <f>C5</f>
        <v>0</v>
      </c>
    </row>
    <row r="19" spans="2:4" x14ac:dyDescent="0.4">
      <c r="B19" s="12" t="s">
        <v>4</v>
      </c>
      <c r="C19" s="1">
        <f>C7</f>
        <v>0</v>
      </c>
    </row>
    <row r="20" spans="2:4" x14ac:dyDescent="0.4">
      <c r="B20" s="12" t="s">
        <v>5</v>
      </c>
      <c r="C20" s="13">
        <f>C9</f>
        <v>0</v>
      </c>
    </row>
    <row r="21" spans="2:4" x14ac:dyDescent="0.4">
      <c r="B21" s="12" t="s">
        <v>0</v>
      </c>
      <c r="C21" s="13">
        <f>C11</f>
        <v>0</v>
      </c>
    </row>
    <row r="22" spans="2:4" x14ac:dyDescent="0.4">
      <c r="B22" s="12" t="s">
        <v>6</v>
      </c>
      <c r="C22" s="1" t="str">
        <f>IF(D22=1,"Site","Office")</f>
        <v>Office</v>
      </c>
      <c r="D22" s="16">
        <v>2</v>
      </c>
    </row>
    <row r="23" spans="2:4" x14ac:dyDescent="0.4">
      <c r="B23" s="12" t="s">
        <v>7</v>
      </c>
      <c r="C23" s="14">
        <f>F3</f>
        <v>0</v>
      </c>
    </row>
    <row r="24" spans="2:4" x14ac:dyDescent="0.4">
      <c r="B24" s="12" t="s">
        <v>8</v>
      </c>
      <c r="C24" s="14">
        <f>F5</f>
        <v>0</v>
      </c>
    </row>
    <row r="25" spans="2:4" x14ac:dyDescent="0.4">
      <c r="B25" s="12" t="s">
        <v>9</v>
      </c>
      <c r="C25" s="14">
        <f>F7</f>
        <v>0</v>
      </c>
    </row>
    <row r="26" spans="2:4" x14ac:dyDescent="0.4">
      <c r="B26" s="12" t="s">
        <v>10</v>
      </c>
      <c r="C26" s="14">
        <f>F9</f>
        <v>0</v>
      </c>
    </row>
    <row r="27" spans="2:4" x14ac:dyDescent="0.4">
      <c r="B27" s="12" t="s">
        <v>12</v>
      </c>
      <c r="C27" s="14">
        <f>F11</f>
        <v>0</v>
      </c>
    </row>
    <row r="28" spans="2:4" x14ac:dyDescent="0.4">
      <c r="B28" s="12" t="s">
        <v>11</v>
      </c>
      <c r="C28" s="14">
        <f>F13</f>
        <v>0</v>
      </c>
    </row>
  </sheetData>
  <sheetProtection algorithmName="SHA-512" hashValue="tvTK1RVMHtEDO2/GR//i6dGy8RJ59XPW5b2g40yci80QGRvd5v0PyxXdR4UPnLwTxUJOHaqPvMq0VDoBOtwgGA==" saltValue="6cKMo7zm1dqZ5e0R6E/09g==" spinCount="100000" sheet="1" objects="1" scenarios="1"/>
  <mergeCells count="1">
    <mergeCell ref="B1:F1"/>
  </mergeCells>
  <dataValidations count="1">
    <dataValidation type="list" allowBlank="1" showInputMessage="1" showErrorMessage="1" sqref="C11" xr:uid="{FB9ACBCB-F555-4B25-8FEE-24400A4DDB0A}">
      <formula1>"Technical,Admin,Account,HR"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2</xdr:col>
                    <xdr:colOff>45720</xdr:colOff>
                    <xdr:row>12</xdr:row>
                    <xdr:rowOff>15240</xdr:rowOff>
                  </from>
                  <to>
                    <xdr:col>2</xdr:col>
                    <xdr:colOff>647700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2</xdr:col>
                    <xdr:colOff>601980</xdr:colOff>
                    <xdr:row>12</xdr:row>
                    <xdr:rowOff>15240</xdr:rowOff>
                  </from>
                  <to>
                    <xdr:col>2</xdr:col>
                    <xdr:colOff>1203960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EmployeeData">
                <anchor moveWithCells="1" sizeWithCells="1">
                  <from>
                    <xdr:col>3</xdr:col>
                    <xdr:colOff>541020</xdr:colOff>
                    <xdr:row>10</xdr:row>
                    <xdr:rowOff>60960</xdr:rowOff>
                  </from>
                  <to>
                    <xdr:col>4</xdr:col>
                    <xdr:colOff>411480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DBE1D-9A28-4C82-A69E-BB3F16234F1F}">
  <dimension ref="B1:M9"/>
  <sheetViews>
    <sheetView showGridLines="0" zoomScale="90" zoomScaleNormal="90" workbookViewId="0">
      <selection activeCell="Q3" sqref="Q3"/>
    </sheetView>
  </sheetViews>
  <sheetFormatPr defaultRowHeight="16.8" x14ac:dyDescent="0.4"/>
  <cols>
    <col min="2" max="2" width="16.3984375" customWidth="1"/>
    <col min="3" max="3" width="16.59765625" customWidth="1"/>
    <col min="4" max="4" width="19.5" customWidth="1"/>
    <col min="5" max="5" width="16.19921875" style="23" customWidth="1"/>
    <col min="6" max="6" width="16.3984375" customWidth="1"/>
    <col min="7" max="7" width="12.69921875" customWidth="1"/>
    <col min="8" max="8" width="12.69921875" style="15" customWidth="1"/>
    <col min="9" max="9" width="10.09765625" style="15" customWidth="1"/>
    <col min="10" max="10" width="9.296875" style="15" customWidth="1"/>
    <col min="11" max="11" width="12.8984375" style="15" customWidth="1"/>
    <col min="12" max="12" width="11.3984375" style="15" customWidth="1"/>
    <col min="13" max="13" width="10.09765625" style="15" customWidth="1"/>
  </cols>
  <sheetData>
    <row r="1" spans="2:13" x14ac:dyDescent="0.4">
      <c r="B1" t="s">
        <v>2</v>
      </c>
      <c r="C1" t="s">
        <v>3</v>
      </c>
      <c r="D1" t="s">
        <v>4</v>
      </c>
      <c r="E1" s="23" t="s">
        <v>5</v>
      </c>
      <c r="F1" t="s">
        <v>0</v>
      </c>
      <c r="G1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12</v>
      </c>
      <c r="M1" s="15" t="s">
        <v>11</v>
      </c>
    </row>
    <row r="2" spans="2:13" x14ac:dyDescent="0.4">
      <c r="B2" s="21" t="s">
        <v>39</v>
      </c>
      <c r="C2" s="21" t="s">
        <v>40</v>
      </c>
      <c r="D2" s="21" t="s">
        <v>41</v>
      </c>
      <c r="E2" s="24" t="s">
        <v>42</v>
      </c>
      <c r="F2" s="21" t="s">
        <v>20</v>
      </c>
      <c r="G2" s="21" t="s">
        <v>15</v>
      </c>
      <c r="H2" s="22">
        <v>500000</v>
      </c>
      <c r="I2" s="22">
        <v>10000</v>
      </c>
      <c r="J2" s="22">
        <v>5000</v>
      </c>
      <c r="K2" s="22">
        <v>3500</v>
      </c>
      <c r="L2" s="22">
        <v>54000</v>
      </c>
      <c r="M2" s="22">
        <v>464500</v>
      </c>
    </row>
    <row r="3" spans="2:13" x14ac:dyDescent="0.4">
      <c r="B3" s="21" t="s">
        <v>36</v>
      </c>
      <c r="C3" s="21" t="s">
        <v>37</v>
      </c>
      <c r="D3" s="21" t="s">
        <v>38</v>
      </c>
      <c r="E3" s="24">
        <v>1999</v>
      </c>
      <c r="F3" s="21" t="s">
        <v>20</v>
      </c>
      <c r="G3" s="21" t="s">
        <v>17</v>
      </c>
      <c r="H3" s="22">
        <v>100000</v>
      </c>
      <c r="I3" s="22">
        <v>50000</v>
      </c>
      <c r="J3" s="22">
        <v>5000</v>
      </c>
      <c r="K3" s="22">
        <v>4000</v>
      </c>
      <c r="L3" s="22">
        <v>15000</v>
      </c>
      <c r="M3" s="22">
        <v>144000</v>
      </c>
    </row>
    <row r="4" spans="2:13" x14ac:dyDescent="0.4">
      <c r="B4" s="21" t="s">
        <v>33</v>
      </c>
      <c r="C4" s="21" t="s">
        <v>34</v>
      </c>
      <c r="D4" s="21" t="s">
        <v>35</v>
      </c>
      <c r="E4" s="24">
        <v>36861</v>
      </c>
      <c r="F4" s="21" t="s">
        <v>20</v>
      </c>
      <c r="G4" s="21" t="s">
        <v>15</v>
      </c>
      <c r="H4" s="22">
        <v>100000</v>
      </c>
      <c r="I4" s="22">
        <v>5000</v>
      </c>
      <c r="J4" s="22">
        <v>1200</v>
      </c>
      <c r="K4" s="22">
        <v>2100</v>
      </c>
      <c r="L4" s="22">
        <v>2000</v>
      </c>
      <c r="M4" s="22">
        <v>106300</v>
      </c>
    </row>
    <row r="5" spans="2:13" x14ac:dyDescent="0.4">
      <c r="B5" s="21" t="s">
        <v>30</v>
      </c>
      <c r="C5" s="21" t="s">
        <v>31</v>
      </c>
      <c r="D5" s="21" t="s">
        <v>32</v>
      </c>
      <c r="E5" s="24">
        <v>36872</v>
      </c>
      <c r="F5" s="21" t="s">
        <v>16</v>
      </c>
      <c r="G5" s="21" t="s">
        <v>15</v>
      </c>
      <c r="H5" s="22">
        <v>50000</v>
      </c>
      <c r="I5" s="22">
        <v>10000</v>
      </c>
      <c r="J5" s="22">
        <v>4000</v>
      </c>
      <c r="K5" s="22">
        <v>10000</v>
      </c>
      <c r="L5" s="22">
        <v>5000</v>
      </c>
      <c r="M5" s="22">
        <v>69000</v>
      </c>
    </row>
    <row r="6" spans="2:13" x14ac:dyDescent="0.4">
      <c r="B6" s="21" t="s">
        <v>27</v>
      </c>
      <c r="C6" s="21" t="s">
        <v>28</v>
      </c>
      <c r="D6" s="21" t="s">
        <v>29</v>
      </c>
      <c r="E6" s="24">
        <v>36577</v>
      </c>
      <c r="F6" s="21" t="s">
        <v>14</v>
      </c>
      <c r="G6" s="21" t="s">
        <v>17</v>
      </c>
      <c r="H6" s="22">
        <v>40000</v>
      </c>
      <c r="I6" s="22">
        <v>23000</v>
      </c>
      <c r="J6" s="22">
        <v>4000</v>
      </c>
      <c r="K6" s="22">
        <v>12000</v>
      </c>
      <c r="L6" s="22">
        <v>1000</v>
      </c>
      <c r="M6" s="22">
        <v>78000</v>
      </c>
    </row>
    <row r="7" spans="2:13" x14ac:dyDescent="0.4">
      <c r="B7" s="21" t="s">
        <v>24</v>
      </c>
      <c r="C7" s="21" t="s">
        <v>25</v>
      </c>
      <c r="D7" s="21" t="s">
        <v>26</v>
      </c>
      <c r="E7" s="24">
        <v>36577</v>
      </c>
      <c r="F7" s="21" t="s">
        <v>14</v>
      </c>
      <c r="G7" s="21" t="s">
        <v>15</v>
      </c>
      <c r="H7" s="22">
        <v>100000</v>
      </c>
      <c r="I7" s="22">
        <v>5000</v>
      </c>
      <c r="J7" s="22">
        <v>2500</v>
      </c>
      <c r="K7" s="22">
        <v>1800</v>
      </c>
      <c r="L7" s="22">
        <v>5000</v>
      </c>
      <c r="M7" s="22">
        <v>104300</v>
      </c>
    </row>
    <row r="8" spans="2:13" x14ac:dyDescent="0.4">
      <c r="B8" s="21" t="s">
        <v>21</v>
      </c>
      <c r="C8" s="21" t="s">
        <v>22</v>
      </c>
      <c r="D8" s="21" t="s">
        <v>23</v>
      </c>
      <c r="E8" s="24">
        <v>36101</v>
      </c>
      <c r="F8" s="21" t="s">
        <v>16</v>
      </c>
      <c r="G8" s="21" t="s">
        <v>17</v>
      </c>
      <c r="H8" s="22">
        <v>90000</v>
      </c>
      <c r="I8" s="22">
        <v>12000</v>
      </c>
      <c r="J8" s="22">
        <v>10000</v>
      </c>
      <c r="K8" s="22">
        <v>3000</v>
      </c>
      <c r="L8" s="22">
        <v>8000</v>
      </c>
      <c r="M8" s="22">
        <v>107000</v>
      </c>
    </row>
    <row r="9" spans="2:13" x14ac:dyDescent="0.4">
      <c r="B9" s="21" t="s">
        <v>18</v>
      </c>
      <c r="C9" s="21" t="s">
        <v>13</v>
      </c>
      <c r="D9" s="21" t="s">
        <v>19</v>
      </c>
      <c r="E9" s="24">
        <v>36862</v>
      </c>
      <c r="F9" s="21" t="s">
        <v>20</v>
      </c>
      <c r="G9" s="21" t="s">
        <v>15</v>
      </c>
      <c r="H9" s="22">
        <v>34000</v>
      </c>
      <c r="I9" s="22">
        <v>15000</v>
      </c>
      <c r="J9" s="22">
        <v>12000</v>
      </c>
      <c r="K9" s="22">
        <v>2000</v>
      </c>
      <c r="L9" s="22">
        <v>5000</v>
      </c>
      <c r="M9" s="22">
        <v>58000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</dc:creator>
  <cp:lastModifiedBy>LG</cp:lastModifiedBy>
  <dcterms:created xsi:type="dcterms:W3CDTF">2026-06-12T08:11:32Z</dcterms:created>
  <dcterms:modified xsi:type="dcterms:W3CDTF">2026-06-23T09:43:15Z</dcterms:modified>
</cp:coreProperties>
</file>